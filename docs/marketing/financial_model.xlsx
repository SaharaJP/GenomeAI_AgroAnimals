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in Matrix" sheetId="3" state="visible" r:id="rId3"/>
    <sheet xmlns:r="http://schemas.openxmlformats.org/officeDocument/2006/relationships" name="Market Sizing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P&amp;L 3Y" sheetId="7" state="visible" r:id="rId7"/>
    <sheet xmlns:r="http://schemas.openxmlformats.org/officeDocument/2006/relationships" name="Runw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 ₽"/>
    <numFmt numFmtId="166" formatCode="0.0&quot; мес&quot;"/>
    <numFmt numFmtId="167" formatCode="0.0&quot;×&quot;"/>
    <numFmt numFmtId="168" formatCode="0.0"/>
  </numFmts>
  <fonts count="9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0F172A"/>
      <sz val="10"/>
    </font>
    <font>
      <name val="Inter"/>
      <b val="1"/>
      <color rgb="00FFFFFF"/>
      <sz val="11"/>
    </font>
    <font>
      <name val="Inter"/>
      <b val="1"/>
      <color rgb="000F172A"/>
      <sz val="10"/>
    </font>
    <font>
      <name val="Inter"/>
      <i val="1"/>
      <color rgb="0064748B"/>
      <sz val="9"/>
    </font>
    <font>
      <name val="Inter"/>
      <i val="1"/>
      <color rgb="0064748B"/>
      <sz val="10"/>
    </font>
    <font>
      <name val="Inter"/>
      <b val="1"/>
      <color rgb="00FFFFFF"/>
      <sz val="10"/>
    </font>
    <font>
      <name val="Inter"/>
      <b val="1"/>
      <color rgb="000F766E"/>
      <sz val="10"/>
    </font>
  </fonts>
  <fills count="7">
    <fill>
      <patternFill/>
    </fill>
    <fill>
      <patternFill patternType="gray125"/>
    </fill>
    <fill>
      <patternFill patternType="solid">
        <fgColor rgb="002A3440"/>
      </patternFill>
    </fill>
    <fill>
      <patternFill patternType="solid">
        <fgColor rgb="0014B8A6"/>
      </patternFill>
    </fill>
    <fill>
      <patternFill patternType="solid">
        <fgColor rgb="00CCFBF1"/>
      </patternFill>
    </fill>
    <fill>
      <patternFill patternType="solid">
        <fgColor rgb="002DD4BF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0" fontId="2" fillId="0" borderId="1" pivotButton="0" quotePrefix="0" xfId="0"/>
    <xf numFmtId="3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3" fillId="3" borderId="0" pivotButton="0" quotePrefix="0" xfId="0"/>
    <xf numFmtId="164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ARR ₽ (BASE)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 3Y'!$B$4:$M$4</f>
            </numRef>
          </cat>
          <val>
            <numRef>
              <f>'P&amp;L 3Y'!$B$7:$M$7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по кварталам ₽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'P&amp;L 3Y'!$B$4:$M$4</f>
            </numRef>
          </cat>
          <val>
            <numRef>
              <f>'P&amp;L 3Y'!$B$17:$M$17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customers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 3Y'!$B$4:$M$4</f>
            </numRef>
          </cat>
          <val>
            <numRef>
              <f>'P&amp;L 3Y'!$B$6:$M$6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44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64</row>
      <rowOff>0</rowOff>
    </from>
    <ext cx="79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GenomeAI AgroAnimals — Финансовая модель</t>
        </is>
      </c>
    </row>
    <row r="2">
      <c r="A2" s="2" t="inlineStr"/>
    </row>
    <row r="3">
      <c r="A3" s="2" t="inlineStr">
        <is>
          <t>Версия: v1.0 · Дата: 2026-05-19 · Автор: founder</t>
        </is>
      </c>
    </row>
    <row r="4">
      <c r="A4" s="2" t="inlineStr"/>
    </row>
    <row r="5">
      <c r="A5" s="2" t="inlineStr">
        <is>
          <t>Структура книги:</t>
        </is>
      </c>
    </row>
    <row r="6">
      <c r="A6" s="2" t="inlineStr">
        <is>
          <t xml:space="preserve">  • README — этот лист (как пользоваться)</t>
        </is>
      </c>
    </row>
    <row r="7">
      <c r="A7" s="2" t="inlineStr">
        <is>
          <t xml:space="preserve">  • Assumptions — все исходные предположения; меняйте только здесь</t>
        </is>
      </c>
    </row>
    <row r="8">
      <c r="A8" s="2" t="inlineStr">
        <is>
          <t xml:space="preserve">  • Pain Matrix — 12 интервью CustDev: что подтвердилось, ущерб</t>
        </is>
      </c>
    </row>
    <row r="9">
      <c r="A9" s="2" t="inlineStr">
        <is>
          <t xml:space="preserve">  • Market Sizing — TAM / SAM / SOM с confidence маркировкой</t>
        </is>
      </c>
    </row>
    <row r="10">
      <c r="A10" s="2" t="inlineStr">
        <is>
          <t xml:space="preserve">  • Pricing — 3 тарифа, ARPU расчёт</t>
        </is>
      </c>
    </row>
    <row r="11">
      <c r="A11" s="2" t="inlineStr">
        <is>
          <t xml:space="preserve">  • Unit Economics — CAC, LTV, payback per scenario</t>
        </is>
      </c>
    </row>
    <row r="12">
      <c r="A12" s="2" t="inlineStr">
        <is>
          <t xml:space="preserve">  • P&amp;L 3 года — revenue / COGS / OPEX / EBITDA по кварталам в 3 сценариях</t>
        </is>
      </c>
    </row>
    <row r="13">
      <c r="A13" s="2" t="inlineStr">
        <is>
          <t xml:space="preserve">  • Runway — burn rate, остаток средств, момент следующего раунда</t>
        </is>
      </c>
    </row>
    <row r="14">
      <c r="A14" s="2" t="inlineStr"/>
    </row>
    <row r="15">
      <c r="A15" s="2" t="inlineStr">
        <is>
          <t>Принципы:</t>
        </is>
      </c>
    </row>
    <row r="16">
      <c r="A16" s="2" t="inlineStr">
        <is>
          <t xml:space="preserve">  • Зелёные ячейки = assumptions (можно менять)</t>
        </is>
      </c>
    </row>
    <row r="17">
      <c r="A17" s="2" t="inlineStr">
        <is>
          <t xml:space="preserve">  • Белые ячейки = вычисляемые (формулы)</t>
        </is>
      </c>
    </row>
    <row r="18">
      <c r="A18" s="2" t="inlineStr">
        <is>
          <t xml:space="preserve">  • Тёмные ячейки = итоги / разделители</t>
        </is>
      </c>
    </row>
    <row r="19">
      <c r="A19" s="2" t="inlineStr">
        <is>
          <t xml:space="preserve">  • Все суммы в ₽ если не указано иначе</t>
        </is>
      </c>
    </row>
    <row r="20">
      <c r="A20" s="2" t="inlineStr">
        <is>
          <t xml:space="preserve">  • Курс $ → ₽ берётся из Assumptions!B4</t>
        </is>
      </c>
    </row>
    <row r="21">
      <c r="A21" s="2" t="inlineStr"/>
    </row>
    <row r="22">
      <c r="A22" s="2" t="inlineStr">
        <is>
          <t>Honest status:</t>
        </is>
      </c>
    </row>
    <row r="23">
      <c r="A23" s="2" t="inlineStr">
        <is>
          <t xml:space="preserve">  • Pain Matrix и MVP-фокус — proven (12 CustDev интервью)</t>
        </is>
      </c>
    </row>
    <row r="24">
      <c r="A24" s="2" t="inlineStr">
        <is>
          <t xml:space="preserve">  • Market sizing — best-effort, требует верификации до защиты</t>
        </is>
      </c>
    </row>
    <row r="25">
      <c r="A25" s="2" t="inlineStr">
        <is>
          <t xml:space="preserve">  • Unit econ / P&amp;L — assumptions из best-practice B2B SaaS + adjusted на agro;</t>
        </is>
      </c>
    </row>
    <row r="26">
      <c r="A26" s="2" t="inlineStr">
        <is>
          <t xml:space="preserve">    станут validated после первых 3 платных пилотов</t>
        </is>
      </c>
    </row>
    <row r="27">
      <c r="A27" s="2" t="inlineStr">
        <is>
          <t xml:space="preserve">  • CAC = 135 000 ₽ — target, реальный может быть 200-350k ₽ (см. 04_business_model.md §sensitivity)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0" customWidth="1" min="3" max="3"/>
  </cols>
  <sheetData>
    <row r="1" ht="28" customHeight="1">
      <c r="A1" s="1" t="inlineStr">
        <is>
          <t>Исходные предположения (меняйте зелёные ячейки)</t>
        </is>
      </c>
    </row>
    <row r="3">
      <c r="A3" s="3" t="inlineStr">
        <is>
          <t>Валюта и время</t>
        </is>
      </c>
    </row>
    <row r="4">
      <c r="A4" s="4" t="inlineStr">
        <is>
          <t>Курс USD → RUB</t>
        </is>
      </c>
      <c r="B4" s="5" t="n">
        <v>92</v>
      </c>
      <c r="C4" s="6" t="inlineStr">
        <is>
          <t>Текущий курс для конвертации $ → ₽</t>
        </is>
      </c>
    </row>
    <row r="5">
      <c r="A5" s="4" t="inlineStr">
        <is>
          <t>Старт операционного периода</t>
        </is>
      </c>
      <c r="B5" s="7" t="inlineStr">
        <is>
          <t>Q3 2026</t>
        </is>
      </c>
      <c r="C5" s="6" t="inlineStr">
        <is>
          <t>Когда начинаем считать MRR</t>
        </is>
      </c>
    </row>
    <row r="6">
      <c r="A6" s="4" t="inlineStr">
        <is>
          <t>Горизонт планирования</t>
        </is>
      </c>
      <c r="B6" s="7" t="inlineStr">
        <is>
          <t>36 месяцев</t>
        </is>
      </c>
      <c r="C6" s="6" t="inlineStr">
        <is>
          <t>12 кварталов вперёд</t>
        </is>
      </c>
    </row>
    <row r="8">
      <c r="A8" s="8" t="inlineStr">
        <is>
          <t>PRICING — тарифы (₽/голову/месяц)</t>
        </is>
      </c>
    </row>
    <row r="9">
      <c r="A9" s="4" t="inlineStr">
        <is>
          <t>Starter (150-300 голов)</t>
        </is>
      </c>
      <c r="B9" s="5" t="n">
        <v>50</v>
      </c>
      <c r="C9" s="6" t="inlineStr">
        <is>
          <t>ARPU = 50 × средние 225 голов = 11 250 ₽/мес = 135 000 ₽/год</t>
        </is>
      </c>
    </row>
    <row r="10">
      <c r="A10" s="4" t="inlineStr">
        <is>
          <t>Growth (300-700 голов)</t>
        </is>
      </c>
      <c r="B10" s="5" t="n">
        <v>35</v>
      </c>
      <c r="C10" s="6" t="inlineStr">
        <is>
          <t>ARPU = 35 × средние 500 голов = 17 500 ₽/мес = 210 000 ₽/год</t>
        </is>
      </c>
    </row>
    <row r="11">
      <c r="A11" s="4" t="inlineStr">
        <is>
          <t>Pro (700-1200 голов)</t>
        </is>
      </c>
      <c r="B11" s="5" t="n">
        <v>25</v>
      </c>
      <c r="C11" s="6" t="inlineStr">
        <is>
          <t>ARPU = 25 × средние 950 голов = 23 750 ₽/мес = 285 000 ₽/год</t>
        </is>
      </c>
    </row>
    <row r="12">
      <c r="A12" s="4" t="inlineStr">
        <is>
          <t>Средневзвешенный ARPU ₽/мес</t>
        </is>
      </c>
      <c r="B12" s="5" t="n">
        <v>15000</v>
      </c>
      <c r="C12" s="6" t="inlineStr">
        <is>
          <t>Mix Starter 40% / Growth 40% / Pro 20%</t>
        </is>
      </c>
    </row>
    <row r="14">
      <c r="A14" s="8" t="inlineStr">
        <is>
          <t>UNIT ECONOMICS</t>
        </is>
      </c>
    </row>
    <row r="15">
      <c r="A15" s="4" t="inlineStr">
        <is>
          <t>CAC target ₽</t>
        </is>
      </c>
      <c r="B15" s="5" t="n">
        <v>135000</v>
      </c>
      <c r="C15" s="6" t="inlineStr">
        <is>
          <t>Целевой; реальный измерим после первых сделок</t>
        </is>
      </c>
    </row>
    <row r="16">
      <c r="A16" s="4" t="inlineStr">
        <is>
          <t>CAC bear ₽</t>
        </is>
      </c>
      <c r="B16" s="5" t="n">
        <v>250000</v>
      </c>
      <c r="C16" s="6" t="inlineStr">
        <is>
          <t>Если cold outreach дорогой и нет warm leads</t>
        </is>
      </c>
    </row>
    <row r="17">
      <c r="A17" s="4" t="inlineStr">
        <is>
          <t>CAC bull ₽</t>
        </is>
      </c>
      <c r="B17" s="5" t="n">
        <v>80000</v>
      </c>
      <c r="C17" s="6" t="inlineStr">
        <is>
          <t>Если партнёрство Союзмолоко работает</t>
        </is>
      </c>
    </row>
    <row r="18">
      <c r="A18" s="4" t="inlineStr">
        <is>
          <t>Gross margin %</t>
        </is>
      </c>
      <c r="B18" s="9" t="n">
        <v>0.78</v>
      </c>
      <c r="C18" s="6" t="inlineStr">
        <is>
          <t>COGS = Claude API (12%) + cloud/инфра (6%) + поддержка (4%)</t>
        </is>
      </c>
    </row>
    <row r="19">
      <c r="A19" s="4" t="inlineStr">
        <is>
          <t>Annual churn %</t>
        </is>
      </c>
      <c r="B19" s="9" t="n">
        <v>0.12</v>
      </c>
      <c r="C19" s="6" t="inlineStr">
        <is>
          <t>B2B agro SaaS benchmark; B2B SMB обычно 8-20%</t>
        </is>
      </c>
    </row>
    <row r="20">
      <c r="A20" s="4" t="inlineStr">
        <is>
          <t>Retention months (LTV horizon)</t>
        </is>
      </c>
      <c r="B20" s="5" t="n">
        <v>60</v>
      </c>
      <c r="C20" s="6" t="inlineStr">
        <is>
          <t>Lifetime для расчёта LTV</t>
        </is>
      </c>
    </row>
    <row r="21">
      <c r="A21" s="4" t="inlineStr">
        <is>
          <t>Pilot→MRR conversion %</t>
        </is>
      </c>
      <c r="B21" s="9" t="n">
        <v>0.7</v>
      </c>
      <c r="C21" s="6" t="inlineStr">
        <is>
          <t>После 2-мес платного пилота 70% переходят в MRR</t>
        </is>
      </c>
    </row>
    <row r="23">
      <c r="A23" s="8" t="inlineStr">
        <is>
          <t>SALES PRODUCTIVITY</t>
        </is>
      </c>
    </row>
    <row r="24">
      <c r="A24" s="4" t="inlineStr">
        <is>
          <t>Pilots / quarter / sales FTE (base)</t>
        </is>
      </c>
      <c r="B24" s="5" t="n">
        <v>3</v>
      </c>
      <c r="C24" s="6" t="inlineStr">
        <is>
          <t>Honest для founder-led + 1 hire</t>
        </is>
      </c>
    </row>
    <row r="25">
      <c r="A25" s="4" t="inlineStr">
        <is>
          <t>Pilots / quarter / sales FTE (bear)</t>
        </is>
      </c>
      <c r="B25" s="5" t="n">
        <v>1</v>
      </c>
      <c r="C25" s="6" t="inlineStr">
        <is>
          <t>Если sales motion не сработал</t>
        </is>
      </c>
    </row>
    <row r="26">
      <c r="A26" s="4" t="inlineStr">
        <is>
          <t>Pilots / quarter / sales FTE (bull)</t>
        </is>
      </c>
      <c r="B26" s="5" t="n">
        <v>5</v>
      </c>
      <c r="C26" s="6" t="inlineStr">
        <is>
          <t>Если выставка + партнёрство дают inbound</t>
        </is>
      </c>
    </row>
    <row r="28">
      <c r="A28" s="8" t="inlineStr">
        <is>
          <t>TEAM COSTS (₽/месяц fully-loaded)</t>
        </is>
      </c>
    </row>
    <row r="29">
      <c r="A29" s="4" t="inlineStr">
        <is>
          <t>Founder</t>
        </is>
      </c>
      <c r="B29" s="5" t="n">
        <v>250000</v>
      </c>
      <c r="C29" s="6" t="inlineStr">
        <is>
          <t>Operating salary, не учитывает equity</t>
        </is>
      </c>
    </row>
    <row r="30">
      <c r="A30" s="4" t="inlineStr">
        <is>
          <t>Backend engineer (M+1)</t>
        </is>
      </c>
      <c r="B30" s="5" t="n">
        <v>350000</v>
      </c>
      <c r="C30" s="6" t="inlineStr">
        <is>
          <t>Senior, fully-loaded</t>
        </is>
      </c>
    </row>
    <row r="31">
      <c r="A31" s="4" t="inlineStr">
        <is>
          <t>ML engineer (M+6)</t>
        </is>
      </c>
      <c r="B31" s="5" t="n">
        <v>380000</v>
      </c>
      <c r="C31" s="6" t="inlineStr">
        <is>
          <t>Senior, fully-loaded</t>
        </is>
      </c>
    </row>
    <row r="32">
      <c r="A32" s="4" t="inlineStr">
        <is>
          <t>Sales hire (M+4)</t>
        </is>
      </c>
      <c r="B32" s="5" t="n">
        <v>250000</v>
      </c>
      <c r="C32" s="6" t="inlineStr">
        <is>
          <t>Base + bonus при closing</t>
        </is>
      </c>
    </row>
    <row r="34">
      <c r="A34" s="8" t="inlineStr">
        <is>
          <t>FUNDRAISING</t>
        </is>
      </c>
    </row>
    <row r="35">
      <c r="A35" s="4" t="inlineStr">
        <is>
          <t>Starting cash (pre-seed)</t>
        </is>
      </c>
      <c r="B35" s="5" t="n">
        <v>5000000</v>
      </c>
      <c r="C35" s="6" t="inlineStr">
        <is>
          <t>Допущение: own + friends&amp;family</t>
        </is>
      </c>
    </row>
    <row r="36">
      <c r="A36" s="4" t="inlineStr">
        <is>
          <t>Seed round target $</t>
        </is>
      </c>
      <c r="B36" s="5" t="n">
        <v>500000</v>
      </c>
      <c r="C36" s="6">
        <f> 46 млн ₽ при курсе 92</f>
        <v/>
      </c>
    </row>
    <row r="37">
      <c r="A37" s="4" t="inlineStr">
        <is>
          <t>Seed dilution %</t>
        </is>
      </c>
      <c r="B37" s="9" t="n">
        <v>0.1</v>
      </c>
      <c r="C37" s="6" t="inlineStr">
        <is>
          <t>Standard SAFE @ ~5M pre-money</t>
        </is>
      </c>
    </row>
  </sheetData>
  <mergeCells count="7">
    <mergeCell ref="A28:C28"/>
    <mergeCell ref="A1:C1"/>
    <mergeCell ref="A23:C23"/>
    <mergeCell ref="A8:C8"/>
    <mergeCell ref="A14:C14"/>
    <mergeCell ref="A3:C3"/>
    <mergeCell ref="A34:C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40" customWidth="1" min="4" max="4"/>
    <col width="26" customWidth="1" min="5" max="5"/>
    <col width="16" customWidth="1" min="6" max="6"/>
  </cols>
  <sheetData>
    <row r="1" ht="28" customHeight="1">
      <c r="A1" s="1" t="inlineStr">
        <is>
          <t>Pain Matrix — Customer Discovery (12 интервью, РФ + РБ, 150-1200 голов)</t>
        </is>
      </c>
    </row>
    <row r="3">
      <c r="A3" s="10" t="inlineStr">
        <is>
          <t>Методология: CustDev (Steve Blank) + JTBD (Christensen) + анализ открытых источников. Интервью 40-60 мин, структура The Mom Test.</t>
        </is>
      </c>
    </row>
    <row r="5" ht="32" customHeight="1">
      <c r="A5" s="11" t="inlineStr">
        <is>
          <t>№</t>
        </is>
      </c>
      <c r="B5" s="12" t="inlineStr">
        <is>
          <t>Проблема</t>
        </is>
      </c>
      <c r="C5" s="11" t="inlineStr">
        <is>
          <t>Подтверждено N/12</t>
        </is>
      </c>
      <c r="D5" s="12" t="inlineStr">
        <is>
          <t>Денежный ущерб (ферма 400 голов)</t>
        </is>
      </c>
      <c r="E5" s="12" t="inlineStr">
        <is>
          <t>Как решает GenomeAI</t>
        </is>
      </c>
      <c r="F5" s="11" t="inlineStr">
        <is>
          <t>MVP-приоритет</t>
        </is>
      </c>
    </row>
    <row r="6" ht="30" customHeight="1">
      <c r="A6" s="13" t="n">
        <v>1</v>
      </c>
      <c r="B6" s="13" t="inlineStr">
        <is>
          <t>Фрагментация данных (4-7 систем)</t>
        </is>
      </c>
      <c r="C6" s="14" t="inlineStr">
        <is>
          <t>12 / 12 (100%)</t>
        </is>
      </c>
      <c r="D6" s="13" t="inlineStr">
        <is>
          <t>2,1 ч/день × 8 000 ₽/час ≈ 400 тыс. ₽/год</t>
        </is>
      </c>
      <c r="E6" s="13" t="inlineStr">
        <is>
          <t>Единый контекст + коннекторы (Селэкс/1С/DeLaval)</t>
        </is>
      </c>
      <c r="F6" s="15" t="inlineStr">
        <is>
          <t>MVP</t>
        </is>
      </c>
    </row>
    <row r="7" ht="30" customHeight="1">
      <c r="A7" s="13" t="n">
        <v>2</v>
      </c>
      <c r="B7" s="13" t="inlineStr">
        <is>
          <t>Узнаём о проблеме поздно (мастит, охота)</t>
        </is>
      </c>
      <c r="C7" s="14" t="inlineStr">
        <is>
          <t>10 / 12 (83%)</t>
        </is>
      </c>
      <c r="D7" s="13" t="inlineStr">
        <is>
          <t>+1 500-5 000 ₽/случай мастита; 158 тыс. ₽/год</t>
        </is>
      </c>
      <c r="E7" s="13" t="inlineStr">
        <is>
          <t>Сканер инсайтов + AI приоритизация</t>
        </is>
      </c>
      <c r="F7" s="15" t="inlineStr">
        <is>
          <t>MVP</t>
        </is>
      </c>
    </row>
    <row r="8" ht="30" customHeight="1">
      <c r="A8" s="13" t="n">
        <v>3</v>
      </c>
      <c r="B8" s="13" t="inlineStr">
        <is>
          <t>Субъективная выбраковка «на глаз»</t>
        </is>
      </c>
      <c r="C8" s="14" t="inlineStr">
        <is>
          <t>9 / 12 (75%)</t>
        </is>
      </c>
      <c r="D8" s="13" t="inlineStr">
        <is>
          <t>80-120 тыс. ₽/ошибочное решение</t>
        </is>
      </c>
      <c r="E8" s="13" t="inlineStr">
        <is>
          <t>NPV-калькулятор (Wood + survival + 8 health)</t>
        </is>
      </c>
      <c r="F8" s="14" t="inlineStr">
        <is>
          <t>Roadmap M3</t>
        </is>
      </c>
    </row>
    <row r="9" ht="30" customHeight="1">
      <c r="A9" s="13" t="n">
        <v>4</v>
      </c>
      <c r="B9" s="13" t="inlineStr">
        <is>
          <t>Зависимость от конкретного зоотехника</t>
        </is>
      </c>
      <c r="C9" s="14" t="inlineStr">
        <is>
          <t>11 / 12 (92%)</t>
        </is>
      </c>
      <c r="D9" s="13" t="inlineStr">
        <is>
          <t>-10-25% efficiency при смене (раз в 3 года)</t>
        </is>
      </c>
      <c r="E9" s="13" t="inlineStr">
        <is>
          <t>Лента событий = память хозяйства</t>
        </is>
      </c>
      <c r="F9" s="15" t="inlineStr">
        <is>
          <t>MVP</t>
        </is>
      </c>
    </row>
    <row r="10" ht="30" customHeight="1">
      <c r="A10" s="13" t="n">
        <v>5</v>
      </c>
      <c r="B10" s="13" t="inlineStr">
        <is>
          <t>Нет оценки влияния решений</t>
        </is>
      </c>
      <c r="C10" s="14" t="inlineStr">
        <is>
          <t>8 / 12 (67%)</t>
        </is>
      </c>
      <c r="D10" s="13" t="inlineStr">
        <is>
          <t>100-500 тыс. ₽/год на повторных ошибках</t>
        </is>
      </c>
      <c r="E10" s="13" t="inlineStr">
        <is>
          <t>Анализ влияния (before/after + diff-in-diff)</t>
        </is>
      </c>
      <c r="F10" s="14" t="inlineStr">
        <is>
          <t>Roadmap M6+</t>
        </is>
      </c>
    </row>
    <row r="13">
      <c r="A13" s="3" t="inlineStr">
        <is>
          <t>JTBD — что наняли GenomeAI делать (из интервью)</t>
        </is>
      </c>
    </row>
    <row r="14" ht="36" customHeight="1">
      <c r="A14" s="14" t="inlineStr">
        <is>
          <t>J1 (функциональная)</t>
        </is>
      </c>
      <c r="B14" s="16" t="inlineStr">
        <is>
          <t>Когда я начинаю утро как зоотехник, я хочу за 5 минут увидеть всех проблемных коров с приоритетом, чтобы не тратить 2 часа на склейку данных из 5 систем</t>
        </is>
      </c>
    </row>
    <row r="15" ht="36" customHeight="1">
      <c r="A15" s="14" t="inlineStr">
        <is>
          <t>J2 (функциональная)</t>
        </is>
      </c>
      <c r="B15" s="16" t="inlineStr">
        <is>
          <t>Когда я думаю про выбраковку, я хочу понимать сколько эта корова стоит в деньгах, чтобы не ошибиться на 100k ₽</t>
        </is>
      </c>
    </row>
    <row r="16" ht="36" customHeight="1">
      <c r="A16" s="14" t="inlineStr">
        <is>
          <t>J3 (социальная)</t>
        </is>
      </c>
      <c r="B16" s="16" t="inlineStr">
        <is>
          <t>Когда у меня сменился зоотехник, я хочу чтобы новый видел всю историю стада, чтобы не терять 6 месяцев и 20% efficiency</t>
        </is>
      </c>
    </row>
    <row r="17" ht="36" customHeight="1">
      <c r="A17" s="14" t="inlineStr">
        <is>
          <t>J4 (функциональная)</t>
        </is>
      </c>
      <c r="B17" s="16" t="inlineStr">
        <is>
          <t>Когда я меняю рацион или протокол, я хочу через месяц увидеть, сработало ли — иначе принимаю решения вслепую</t>
        </is>
      </c>
    </row>
    <row r="18" ht="36" customHeight="1">
      <c r="A18" s="14" t="inlineStr">
        <is>
          <t>J5 (эмоциональная)</t>
        </is>
      </c>
      <c r="B18" s="16" t="inlineStr">
        <is>
          <t>Когда я уезжаю в отпуск, я хочу спать спокойно, что хозяйство не развалится без меня</t>
        </is>
      </c>
    </row>
  </sheetData>
  <mergeCells count="8">
    <mergeCell ref="A13:F13"/>
    <mergeCell ref="B16:F16"/>
    <mergeCell ref="B15:F15"/>
    <mergeCell ref="A1:F1"/>
    <mergeCell ref="B14:F14"/>
    <mergeCell ref="A3:F3"/>
    <mergeCell ref="B17:F17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50" customWidth="1" min="4" max="4"/>
  </cols>
  <sheetData>
    <row r="1" ht="28" customHeight="1">
      <c r="A1" s="1" t="inlineStr">
        <is>
          <t>Market Sizing — РФ + РБ молочный SaaS</t>
        </is>
      </c>
    </row>
    <row r="3">
      <c r="A3" s="10" t="inlineStr">
        <is>
          <t>Confidence: 🟢 устоявшийся факт · 🟡 estimate · 🔴 assumption. Источники в 03_market_sizing.md.</t>
        </is>
      </c>
    </row>
    <row r="5">
      <c r="A5" s="3" t="inlineStr">
        <is>
          <t>Контекст рынка РФ</t>
        </is>
      </c>
    </row>
    <row r="6">
      <c r="A6" s="13" t="inlineStr">
        <is>
          <t>Поголовье КРС всего, голов</t>
        </is>
      </c>
      <c r="B6" s="17" t="n">
        <v>17200000</v>
      </c>
      <c r="C6" s="18" t="inlineStr">
        <is>
          <t>🟢</t>
        </is>
      </c>
      <c r="D6" s="6" t="inlineStr">
        <is>
          <t>Росстат</t>
        </is>
      </c>
    </row>
    <row r="7">
      <c r="A7" s="13" t="inlineStr">
        <is>
          <t>Поголовье молочных коров, голов</t>
        </is>
      </c>
      <c r="B7" s="17" t="n">
        <v>7300000</v>
      </c>
      <c r="C7" s="18" t="inlineStr">
        <is>
          <t>🟢</t>
        </is>
      </c>
      <c r="D7" s="6" t="inlineStr">
        <is>
          <t>Союзмолоко, Росстат</t>
        </is>
      </c>
    </row>
    <row r="8">
      <c r="A8" s="13" t="inlineStr">
        <is>
          <t>Производство сырого молока, тонн/год</t>
        </is>
      </c>
      <c r="B8" s="17" t="n">
        <v>33000000</v>
      </c>
      <c r="C8" s="18" t="inlineStr">
        <is>
          <t>🟢</t>
        </is>
      </c>
      <c r="D8" s="6" t="inlineStr">
        <is>
          <t>Минсельхоз</t>
        </is>
      </c>
    </row>
    <row r="9">
      <c r="A9" s="13" t="inlineStr">
        <is>
          <t>Доля СХО в молочном стаде</t>
        </is>
      </c>
      <c r="B9" s="19" t="n">
        <v>0.47</v>
      </c>
      <c r="C9" s="18" t="inlineStr">
        <is>
          <t>🟢</t>
        </is>
      </c>
      <c r="D9" s="6" t="inlineStr">
        <is>
          <t>Росстат</t>
        </is>
      </c>
    </row>
    <row r="10">
      <c r="A10" s="13" t="inlineStr">
        <is>
          <t>Доля КФХ</t>
        </is>
      </c>
      <c r="B10" s="19" t="n">
        <v>0.12</v>
      </c>
      <c r="C10" s="18" t="inlineStr">
        <is>
          <t>🟢</t>
        </is>
      </c>
      <c r="D10" s="6" t="inlineStr">
        <is>
          <t>Росстат</t>
        </is>
      </c>
    </row>
    <row r="11">
      <c r="A11" s="13" t="inlineStr">
        <is>
          <t>Доля ЛПХ (не наш TAM)</t>
        </is>
      </c>
      <c r="B11" s="19" t="n">
        <v>0.41</v>
      </c>
      <c r="C11" s="18" t="inlineStr">
        <is>
          <t>🟢</t>
        </is>
      </c>
      <c r="D11" s="6" t="inlineStr">
        <is>
          <t>Росстат</t>
        </is>
      </c>
    </row>
    <row r="12">
      <c r="A12" s="13" t="inlineStr">
        <is>
          <t>Беларусь: поголовье молочных коров</t>
        </is>
      </c>
      <c r="B12" s="17" t="n">
        <v>1400000</v>
      </c>
      <c r="C12" s="18" t="inlineStr">
        <is>
          <t>🟢</t>
        </is>
      </c>
      <c r="D12" s="6" t="inlineStr">
        <is>
          <t>Минсельхоз РБ</t>
        </is>
      </c>
    </row>
    <row r="14">
      <c r="A14" s="3" t="inlineStr">
        <is>
          <t>TAM / SAM / SOM расчёт</t>
        </is>
      </c>
    </row>
    <row r="15">
      <c r="A15" s="13" t="inlineStr">
        <is>
          <t>Хозяйств 150-1200 голов (СХО+КФХ) РФ+РБ</t>
        </is>
      </c>
      <c r="B15" s="17" t="n">
        <v>6800</v>
      </c>
      <c r="C15" s="18" t="inlineStr">
        <is>
          <t>🟡</t>
        </is>
      </c>
    </row>
    <row r="16">
      <c r="A16" s="13" t="inlineStr">
        <is>
          <t>ARPU средний, ₽/год (=Assumptions!B12 × 12)</t>
        </is>
      </c>
      <c r="B16" s="20">
        <f>Assumptions!B12*12</f>
        <v/>
      </c>
    </row>
    <row r="17">
      <c r="A17" s="14" t="inlineStr">
        <is>
          <t>TAM = ферм × ARPU</t>
        </is>
      </c>
      <c r="B17" s="21">
        <f>B15*B16</f>
        <v/>
      </c>
    </row>
    <row r="18">
      <c r="A18" s="13" t="inlineStr">
        <is>
          <t>Фильтр: интернет на ферме</t>
        </is>
      </c>
      <c r="B18" s="22" t="n">
        <v>0.85</v>
      </c>
    </row>
    <row r="19">
      <c r="A19" s="13" t="inlineStr">
        <is>
          <t>Фильтр: готовы рассматривать SaaS</t>
        </is>
      </c>
      <c r="B19" s="22" t="n">
        <v>0.95</v>
      </c>
    </row>
    <row r="20">
      <c r="A20" s="13" t="inlineStr">
        <is>
          <t>Фильтр: decision-maker доступен</t>
        </is>
      </c>
      <c r="B20" s="22" t="n">
        <v>0.8</v>
      </c>
    </row>
    <row r="21">
      <c r="A21" s="14" t="inlineStr">
        <is>
          <t>SAM = TAM × все фильтры</t>
        </is>
      </c>
      <c r="B21" s="21">
        <f>B17*B18*B19*B20</f>
        <v/>
      </c>
    </row>
    <row r="22">
      <c r="A22" s="14" t="inlineStr">
        <is>
          <t>SOM Y3 при 4-5% захвате SAM (base)</t>
        </is>
      </c>
      <c r="B22" s="21">
        <f>B21*0.045</f>
        <v/>
      </c>
    </row>
  </sheetData>
  <mergeCells count="4">
    <mergeCell ref="A1:D1"/>
    <mergeCell ref="A14:D14"/>
    <mergeCell ref="A3:D3"/>
    <mergeCell ref="A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 ht="28" customHeight="1">
      <c r="A1" s="1" t="inlineStr">
        <is>
          <t>Pricing tiers (формулы ссылаются на Assumptions)</t>
        </is>
      </c>
    </row>
    <row r="3" ht="30" customHeight="1">
      <c r="A3" s="11" t="inlineStr">
        <is>
          <t>Tier</t>
        </is>
      </c>
      <c r="B3" s="11" t="inlineStr">
        <is>
          <t>Размер фермы (голов)</t>
        </is>
      </c>
      <c r="C3" s="11" t="inlineStr">
        <is>
          <t>₽/голову/мес</t>
        </is>
      </c>
      <c r="D3" s="11" t="inlineStr">
        <is>
          <t>Среднее ARPU/мес ₽</t>
        </is>
      </c>
      <c r="E3" s="11" t="inlineStr">
        <is>
          <t>Среднее ARPU/год ₽</t>
        </is>
      </c>
    </row>
    <row r="4">
      <c r="A4" s="14" t="inlineStr">
        <is>
          <t>Starter</t>
        </is>
      </c>
      <c r="B4" s="18" t="inlineStr">
        <is>
          <t>150-300</t>
        </is>
      </c>
      <c r="C4" s="23">
        <f>Assumptions!B9</f>
        <v/>
      </c>
      <c r="D4" s="20">
        <f>C4*225</f>
        <v/>
      </c>
      <c r="E4" s="21">
        <f>D4*12</f>
        <v/>
      </c>
    </row>
    <row r="5">
      <c r="A5" s="14" t="inlineStr">
        <is>
          <t>Growth</t>
        </is>
      </c>
      <c r="B5" s="18" t="inlineStr">
        <is>
          <t>300-700</t>
        </is>
      </c>
      <c r="C5" s="23">
        <f>Assumptions!B10</f>
        <v/>
      </c>
      <c r="D5" s="20">
        <f>C5*500</f>
        <v/>
      </c>
      <c r="E5" s="21">
        <f>D5*12</f>
        <v/>
      </c>
    </row>
    <row r="6">
      <c r="A6" s="14" t="inlineStr">
        <is>
          <t>Pro</t>
        </is>
      </c>
      <c r="B6" s="18" t="inlineStr">
        <is>
          <t>700-1200</t>
        </is>
      </c>
      <c r="C6" s="23">
        <f>Assumptions!B11</f>
        <v/>
      </c>
      <c r="D6" s="20">
        <f>C6*950</f>
        <v/>
      </c>
      <c r="E6" s="21">
        <f>D6*12</f>
        <v/>
      </c>
    </row>
    <row r="8">
      <c r="A8" s="14" t="inlineStr">
        <is>
          <t>Mix-weighted ARPU (Starter 40% / Growth 40% / Pro 20%)</t>
        </is>
      </c>
      <c r="D8" s="21">
        <f>D4*0.4+D5*0.4+D6*0.2</f>
        <v/>
      </c>
      <c r="E8" s="21">
        <f>D8*12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Unit Economics — 3 сценария</t>
        </is>
      </c>
    </row>
    <row r="3" ht="30" customHeight="1">
      <c r="A3" s="11" t="inlineStr">
        <is>
          <t>Метрика</t>
        </is>
      </c>
      <c r="B3" s="11" t="inlineStr">
        <is>
          <t>Bear</t>
        </is>
      </c>
      <c r="C3" s="11" t="inlineStr">
        <is>
          <t>Base</t>
        </is>
      </c>
      <c r="D3" s="11" t="inlineStr">
        <is>
          <t>Bull</t>
        </is>
      </c>
    </row>
    <row r="4">
      <c r="A4" s="13" t="inlineStr">
        <is>
          <t>ARPU ₽/год (из Pricing!D8 × 12)</t>
        </is>
      </c>
      <c r="B4" s="20">
        <f>Pricing!E8*0.85</f>
        <v/>
      </c>
      <c r="C4" s="20">
        <f>Pricing!E8</f>
        <v/>
      </c>
      <c r="D4" s="20">
        <f>Pricing!E8*1.15</f>
        <v/>
      </c>
    </row>
    <row r="5">
      <c r="A5" s="13" t="inlineStr">
        <is>
          <t>Gross margin %</t>
        </is>
      </c>
      <c r="B5" s="19">
        <f>Assumptions!B19</f>
        <v/>
      </c>
      <c r="C5" s="19">
        <f>Assumptions!B19</f>
        <v/>
      </c>
      <c r="D5" s="19">
        <f>Assumptions!B19</f>
        <v/>
      </c>
    </row>
    <row r="6">
      <c r="A6" s="13" t="inlineStr">
        <is>
          <t>Gross profit ₽/год/customer</t>
        </is>
      </c>
      <c r="B6" s="20">
        <f>B4*B5</f>
        <v/>
      </c>
      <c r="C6" s="20">
        <f>C4*C5</f>
        <v/>
      </c>
      <c r="D6" s="20">
        <f>D4*D5</f>
        <v/>
      </c>
    </row>
    <row r="7">
      <c r="A7" s="13" t="inlineStr">
        <is>
          <t>CAC ₽</t>
        </is>
      </c>
      <c r="B7" s="20">
        <f>Assumptions!B17</f>
        <v/>
      </c>
      <c r="C7" s="20">
        <f>Assumptions!B16</f>
        <v/>
      </c>
      <c r="D7" s="20">
        <f>Assumptions!B18</f>
        <v/>
      </c>
    </row>
    <row r="8">
      <c r="A8" s="13" t="inlineStr">
        <is>
          <t>Annual churn %</t>
        </is>
      </c>
      <c r="B8" s="19">
        <f>Assumptions!B20</f>
        <v/>
      </c>
      <c r="C8" s="19">
        <f>Assumptions!B20</f>
        <v/>
      </c>
      <c r="D8" s="19">
        <f>Assumptions!B20</f>
        <v/>
      </c>
    </row>
    <row r="9">
      <c r="A9" s="13" t="inlineStr">
        <is>
          <t>Avg retention months</t>
        </is>
      </c>
      <c r="B9" s="24">
        <f>Assumptions!B21</f>
        <v/>
      </c>
      <c r="C9" s="24">
        <f>Assumptions!B21</f>
        <v/>
      </c>
      <c r="D9" s="24">
        <f>Assumptions!B21</f>
        <v/>
      </c>
    </row>
    <row r="10">
      <c r="A10" s="13" t="inlineStr">
        <is>
          <t>LTV ₽ (= GP × retention/12)</t>
        </is>
      </c>
      <c r="B10" s="25">
        <f>B6*B9/12</f>
        <v/>
      </c>
      <c r="C10" s="25">
        <f>C6*C9/12</f>
        <v/>
      </c>
      <c r="D10" s="25">
        <f>D6*D9/12</f>
        <v/>
      </c>
    </row>
    <row r="11">
      <c r="A11" s="13" t="inlineStr">
        <is>
          <t>LTV/CAC ratio</t>
        </is>
      </c>
      <c r="B11" s="26">
        <f>B10/B7</f>
        <v/>
      </c>
      <c r="C11" s="26">
        <f>C10/C7</f>
        <v/>
      </c>
      <c r="D11" s="26">
        <f>D10/D7</f>
        <v/>
      </c>
    </row>
    <row r="12">
      <c r="A12" s="13" t="inlineStr">
        <is>
          <t>Payback months (CAC / monthly GP)</t>
        </is>
      </c>
      <c r="B12" s="27">
        <f>B7/(B6/12)</f>
        <v/>
      </c>
      <c r="C12" s="27">
        <f>C7/(C6/12)</f>
        <v/>
      </c>
      <c r="D12" s="27">
        <f>D7/(D6/12)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>P&amp;L по кварталам Q3-2026 → Q4-2029 (12 кварталов)</t>
        </is>
      </c>
    </row>
    <row r="3">
      <c r="A3" s="3" t="inlineStr">
        <is>
          <t>BASE SCENARIO (Pilots/Q/FTE=3)</t>
        </is>
      </c>
    </row>
    <row r="4" ht="30" customHeight="1">
      <c r="A4" s="12" t="inlineStr">
        <is>
          <t>Метрика</t>
        </is>
      </c>
      <c r="B4" s="11" t="inlineStr">
        <is>
          <t>Q3'26</t>
        </is>
      </c>
      <c r="C4" s="11" t="inlineStr">
        <is>
          <t>Q4'26</t>
        </is>
      </c>
      <c r="D4" s="11" t="inlineStr">
        <is>
          <t>Q1'27</t>
        </is>
      </c>
      <c r="E4" s="11" t="inlineStr">
        <is>
          <t>Q2'27</t>
        </is>
      </c>
      <c r="F4" s="11" t="inlineStr">
        <is>
          <t>Q3'27</t>
        </is>
      </c>
      <c r="G4" s="11" t="inlineStr">
        <is>
          <t>Q4'27</t>
        </is>
      </c>
      <c r="H4" s="11" t="inlineStr">
        <is>
          <t>Q1'28</t>
        </is>
      </c>
      <c r="I4" s="11" t="inlineStr">
        <is>
          <t>Q2'28</t>
        </is>
      </c>
      <c r="J4" s="11" t="inlineStr">
        <is>
          <t>Q3'28</t>
        </is>
      </c>
      <c r="K4" s="11" t="inlineStr">
        <is>
          <t>Q4'28</t>
        </is>
      </c>
      <c r="L4" s="11" t="inlineStr">
        <is>
          <t>Q1'29</t>
        </is>
      </c>
      <c r="M4" s="11" t="inlineStr">
        <is>
          <t>Q2'29</t>
        </is>
      </c>
    </row>
    <row r="5">
      <c r="A5" s="13" t="inlineStr">
        <is>
          <t>Новые customers/Q</t>
        </is>
      </c>
      <c r="B5" s="7" t="n">
        <v>1</v>
      </c>
      <c r="C5" s="7" t="n">
        <v>2</v>
      </c>
      <c r="D5" s="7" t="n">
        <v>3</v>
      </c>
      <c r="E5" s="7" t="n">
        <v>3</v>
      </c>
      <c r="F5" s="7" t="n">
        <v>4</v>
      </c>
      <c r="G5" s="7" t="n">
        <v>4</v>
      </c>
      <c r="H5" s="7" t="n">
        <v>5</v>
      </c>
      <c r="I5" s="7" t="n">
        <v>5</v>
      </c>
      <c r="J5" s="7" t="n">
        <v>5</v>
      </c>
      <c r="K5" s="7" t="n">
        <v>6</v>
      </c>
      <c r="L5" s="7" t="n">
        <v>6</v>
      </c>
      <c r="M5" s="7" t="n">
        <v>6</v>
      </c>
    </row>
    <row r="6">
      <c r="A6" s="14" t="inlineStr">
        <is>
          <t>Cumulative customers (with churn)</t>
        </is>
      </c>
      <c r="B6" s="28">
        <f>B5</f>
        <v/>
      </c>
      <c r="C6" s="29">
        <f>B6*(1-Assumptions!$B$20/4)+C5</f>
        <v/>
      </c>
      <c r="D6" s="29">
        <f>C6*(1-Assumptions!$B$20/4)+D5</f>
        <v/>
      </c>
      <c r="E6" s="29">
        <f>D6*(1-Assumptions!$B$20/4)+E5</f>
        <v/>
      </c>
      <c r="F6" s="29">
        <f>E6*(1-Assumptions!$B$20/4)+F5</f>
        <v/>
      </c>
      <c r="G6" s="29">
        <f>F6*(1-Assumptions!$B$20/4)+G5</f>
        <v/>
      </c>
      <c r="H6" s="29">
        <f>G6*(1-Assumptions!$B$20/4)+H5</f>
        <v/>
      </c>
      <c r="I6" s="29">
        <f>H6*(1-Assumptions!$B$20/4)+I5</f>
        <v/>
      </c>
      <c r="J6" s="29">
        <f>I6*(1-Assumptions!$B$20/4)+J5</f>
        <v/>
      </c>
      <c r="K6" s="29">
        <f>J6*(1-Assumptions!$B$20/4)+K5</f>
        <v/>
      </c>
      <c r="L6" s="29">
        <f>K6*(1-Assumptions!$B$20/4)+L5</f>
        <v/>
      </c>
      <c r="M6" s="29">
        <f>L6*(1-Assumptions!$B$20/4)+M5</f>
        <v/>
      </c>
    </row>
    <row r="7">
      <c r="A7" s="13" t="inlineStr">
        <is>
          <t>ARR ₽</t>
        </is>
      </c>
      <c r="B7" s="17">
        <f>B6*Pricing!$E$8</f>
        <v/>
      </c>
      <c r="C7" s="17">
        <f>C6*Pricing!$E$8</f>
        <v/>
      </c>
      <c r="D7" s="17">
        <f>D6*Pricing!$E$8</f>
        <v/>
      </c>
      <c r="E7" s="17">
        <f>E6*Pricing!$E$8</f>
        <v/>
      </c>
      <c r="F7" s="17">
        <f>F6*Pricing!$E$8</f>
        <v/>
      </c>
      <c r="G7" s="17">
        <f>G6*Pricing!$E$8</f>
        <v/>
      </c>
      <c r="H7" s="17">
        <f>H6*Pricing!$E$8</f>
        <v/>
      </c>
      <c r="I7" s="17">
        <f>I6*Pricing!$E$8</f>
        <v/>
      </c>
      <c r="J7" s="17">
        <f>J6*Pricing!$E$8</f>
        <v/>
      </c>
      <c r="K7" s="17">
        <f>K6*Pricing!$E$8</f>
        <v/>
      </c>
      <c r="L7" s="17">
        <f>L6*Pricing!$E$8</f>
        <v/>
      </c>
      <c r="M7" s="17">
        <f>M6*Pricing!$E$8</f>
        <v/>
      </c>
    </row>
    <row r="8">
      <c r="A8" s="13" t="inlineStr">
        <is>
          <t>Quarterly revenue ₽</t>
        </is>
      </c>
      <c r="B8" s="17">
        <f>B7/4</f>
        <v/>
      </c>
      <c r="C8" s="17">
        <f>C7/4</f>
        <v/>
      </c>
      <c r="D8" s="17">
        <f>D7/4</f>
        <v/>
      </c>
      <c r="E8" s="17">
        <f>E7/4</f>
        <v/>
      </c>
      <c r="F8" s="17">
        <f>F7/4</f>
        <v/>
      </c>
      <c r="G8" s="17">
        <f>G7/4</f>
        <v/>
      </c>
      <c r="H8" s="17">
        <f>H7/4</f>
        <v/>
      </c>
      <c r="I8" s="17">
        <f>I7/4</f>
        <v/>
      </c>
      <c r="J8" s="17">
        <f>J7/4</f>
        <v/>
      </c>
      <c r="K8" s="17">
        <f>K7/4</f>
        <v/>
      </c>
      <c r="L8" s="17">
        <f>L7/4</f>
        <v/>
      </c>
      <c r="M8" s="17">
        <f>M7/4</f>
        <v/>
      </c>
    </row>
    <row r="9">
      <c r="A9" s="13" t="inlineStr">
        <is>
          <t>COGS ₽ (= revenue × (1-GM))</t>
        </is>
      </c>
      <c r="B9" s="17">
        <f>B8*(1-Assumptions!$B$19)</f>
        <v/>
      </c>
      <c r="C9" s="17">
        <f>C8*(1-Assumptions!$B$19)</f>
        <v/>
      </c>
      <c r="D9" s="17">
        <f>D8*(1-Assumptions!$B$19)</f>
        <v/>
      </c>
      <c r="E9" s="17">
        <f>E8*(1-Assumptions!$B$19)</f>
        <v/>
      </c>
      <c r="F9" s="17">
        <f>F8*(1-Assumptions!$B$19)</f>
        <v/>
      </c>
      <c r="G9" s="17">
        <f>G8*(1-Assumptions!$B$19)</f>
        <v/>
      </c>
      <c r="H9" s="17">
        <f>H8*(1-Assumptions!$B$19)</f>
        <v/>
      </c>
      <c r="I9" s="17">
        <f>I8*(1-Assumptions!$B$19)</f>
        <v/>
      </c>
      <c r="J9" s="17">
        <f>J8*(1-Assumptions!$B$19)</f>
        <v/>
      </c>
      <c r="K9" s="17">
        <f>K8*(1-Assumptions!$B$19)</f>
        <v/>
      </c>
      <c r="L9" s="17">
        <f>L8*(1-Assumptions!$B$19)</f>
        <v/>
      </c>
      <c r="M9" s="17">
        <f>M8*(1-Assumptions!$B$19)</f>
        <v/>
      </c>
    </row>
    <row r="10">
      <c r="A10" s="14" t="inlineStr">
        <is>
          <t>Gross profit ₽</t>
        </is>
      </c>
      <c r="B10" s="30">
        <f>B8-B9</f>
        <v/>
      </c>
      <c r="C10" s="30">
        <f>C8-C9</f>
        <v/>
      </c>
      <c r="D10" s="30">
        <f>D8-D9</f>
        <v/>
      </c>
      <c r="E10" s="30">
        <f>E8-E9</f>
        <v/>
      </c>
      <c r="F10" s="30">
        <f>F8-F9</f>
        <v/>
      </c>
      <c r="G10" s="30">
        <f>G8-G9</f>
        <v/>
      </c>
      <c r="H10" s="30">
        <f>H8-H9</f>
        <v/>
      </c>
      <c r="I10" s="30">
        <f>I8-I9</f>
        <v/>
      </c>
      <c r="J10" s="30">
        <f>J8-J9</f>
        <v/>
      </c>
      <c r="K10" s="30">
        <f>K8-K9</f>
        <v/>
      </c>
      <c r="L10" s="30">
        <f>L8-L9</f>
        <v/>
      </c>
      <c r="M10" s="30">
        <f>M8-M9</f>
        <v/>
      </c>
    </row>
    <row r="12">
      <c r="A12" s="13" t="inlineStr">
        <is>
          <t>Sales ₽ (CAC × new + Sales hire salary)</t>
        </is>
      </c>
      <c r="B12" s="17">
        <f>B5*Assumptions!$B$16+0</f>
        <v/>
      </c>
      <c r="C12" s="17">
        <f>C5*Assumptions!$B$16+0</f>
        <v/>
      </c>
      <c r="D12" s="17">
        <f>D5*Assumptions!$B$16+Assumptions!$B$30*3</f>
        <v/>
      </c>
      <c r="E12" s="17">
        <f>E5*Assumptions!$B$16+Assumptions!$B$30*3</f>
        <v/>
      </c>
      <c r="F12" s="17">
        <f>F5*Assumptions!$B$16+Assumptions!$B$30*3</f>
        <v/>
      </c>
      <c r="G12" s="17">
        <f>G5*Assumptions!$B$16+Assumptions!$B$30*3</f>
        <v/>
      </c>
      <c r="H12" s="17">
        <f>H5*Assumptions!$B$16+Assumptions!$B$30*3</f>
        <v/>
      </c>
      <c r="I12" s="17">
        <f>I5*Assumptions!$B$16+Assumptions!$B$30*3</f>
        <v/>
      </c>
      <c r="J12" s="17">
        <f>J5*Assumptions!$B$16+Assumptions!$B$30*3</f>
        <v/>
      </c>
      <c r="K12" s="17">
        <f>K5*Assumptions!$B$16+Assumptions!$B$30*3</f>
        <v/>
      </c>
      <c r="L12" s="17">
        <f>L5*Assumptions!$B$16+Assumptions!$B$30*3</f>
        <v/>
      </c>
      <c r="M12" s="17">
        <f>M5*Assumptions!$B$16+Assumptions!$B$30*3</f>
        <v/>
      </c>
    </row>
    <row r="13">
      <c r="A13" s="13" t="inlineStr">
        <is>
          <t>R&amp;D ₽ (Founder+BE+ML salaries)</t>
        </is>
      </c>
      <c r="B13" s="17">
        <f>Assumptions!$B$27*3+Assumptions!$B$28*3</f>
        <v/>
      </c>
      <c r="C13" s="17">
        <f>Assumptions!$B$27*3+Assumptions!$B$28*3</f>
        <v/>
      </c>
      <c r="D13" s="17">
        <f>Assumptions!$B$27*3+Assumptions!$B$28*3</f>
        <v/>
      </c>
      <c r="E13" s="17">
        <f>Assumptions!$B$27*3+Assumptions!$B$28*3</f>
        <v/>
      </c>
      <c r="F13" s="17">
        <f>Assumptions!$B$27*3+Assumptions!$B$28*3</f>
        <v/>
      </c>
      <c r="G13" s="17">
        <f>Assumptions!$B$27*3+Assumptions!$B$28*3+Assumptions!$B$29*3</f>
        <v/>
      </c>
      <c r="H13" s="17">
        <f>Assumptions!$B$27*3+Assumptions!$B$28*3+Assumptions!$B$29*3</f>
        <v/>
      </c>
      <c r="I13" s="17">
        <f>Assumptions!$B$27*3+Assumptions!$B$28*3+Assumptions!$B$29*3</f>
        <v/>
      </c>
      <c r="J13" s="17">
        <f>Assumptions!$B$27*3+Assumptions!$B$28*3+Assumptions!$B$29*3</f>
        <v/>
      </c>
      <c r="K13" s="17">
        <f>Assumptions!$B$27*3+Assumptions!$B$28*3+Assumptions!$B$29*3</f>
        <v/>
      </c>
      <c r="L13" s="17">
        <f>Assumptions!$B$27*3+Assumptions!$B$28*3+Assumptions!$B$29*3</f>
        <v/>
      </c>
      <c r="M13" s="17">
        <f>Assumptions!$B$27*3+Assumptions!$B$28*3+Assumptions!$B$29*3</f>
        <v/>
      </c>
    </row>
    <row r="14">
      <c r="A14" s="13" t="inlineStr">
        <is>
          <t>G&amp;A ₽ (~20% of total OPEX)</t>
        </is>
      </c>
      <c r="B14" s="17">
        <f>(B12+B13)*0.25</f>
        <v/>
      </c>
      <c r="C14" s="17">
        <f>(C12+C13)*0.25</f>
        <v/>
      </c>
      <c r="D14" s="17">
        <f>(D12+D13)*0.25</f>
        <v/>
      </c>
      <c r="E14" s="17">
        <f>(E12+E13)*0.25</f>
        <v/>
      </c>
      <c r="F14" s="17">
        <f>(F12+F13)*0.25</f>
        <v/>
      </c>
      <c r="G14" s="17">
        <f>(G12+G13)*0.25</f>
        <v/>
      </c>
      <c r="H14" s="17">
        <f>(H12+H13)*0.25</f>
        <v/>
      </c>
      <c r="I14" s="17">
        <f>(I12+I13)*0.25</f>
        <v/>
      </c>
      <c r="J14" s="17">
        <f>(J12+J13)*0.25</f>
        <v/>
      </c>
      <c r="K14" s="17">
        <f>(K12+K13)*0.25</f>
        <v/>
      </c>
      <c r="L14" s="17">
        <f>(L12+L13)*0.25</f>
        <v/>
      </c>
      <c r="M14" s="17">
        <f>(M12+M13)*0.25</f>
        <v/>
      </c>
    </row>
    <row r="15">
      <c r="A15" s="14" t="inlineStr">
        <is>
          <t>Total OPEX ₽</t>
        </is>
      </c>
      <c r="B15" s="31">
        <f>B12+B13+B14</f>
        <v/>
      </c>
      <c r="C15" s="31">
        <f>C12+C13+C14</f>
        <v/>
      </c>
      <c r="D15" s="31">
        <f>D12+D13+D14</f>
        <v/>
      </c>
      <c r="E15" s="31">
        <f>E12+E13+E14</f>
        <v/>
      </c>
      <c r="F15" s="31">
        <f>F12+F13+F14</f>
        <v/>
      </c>
      <c r="G15" s="31">
        <f>G12+G13+G14</f>
        <v/>
      </c>
      <c r="H15" s="31">
        <f>H12+H13+H14</f>
        <v/>
      </c>
      <c r="I15" s="31">
        <f>I12+I13+I14</f>
        <v/>
      </c>
      <c r="J15" s="31">
        <f>J12+J13+J14</f>
        <v/>
      </c>
      <c r="K15" s="31">
        <f>K12+K13+K14</f>
        <v/>
      </c>
      <c r="L15" s="31">
        <f>L12+L13+L14</f>
        <v/>
      </c>
      <c r="M15" s="31">
        <f>M12+M13+M14</f>
        <v/>
      </c>
    </row>
    <row r="17">
      <c r="A17" s="32" t="inlineStr">
        <is>
          <t>EBITDA ₽</t>
        </is>
      </c>
      <c r="B17" s="33">
        <f>B10-B15</f>
        <v/>
      </c>
      <c r="C17" s="33">
        <f>C10-C15</f>
        <v/>
      </c>
      <c r="D17" s="33">
        <f>D10-D15</f>
        <v/>
      </c>
      <c r="E17" s="33">
        <f>E10-E15</f>
        <v/>
      </c>
      <c r="F17" s="33">
        <f>F10-F15</f>
        <v/>
      </c>
      <c r="G17" s="33">
        <f>G10-G15</f>
        <v/>
      </c>
      <c r="H17" s="33">
        <f>H10-H15</f>
        <v/>
      </c>
      <c r="I17" s="33">
        <f>I10-I15</f>
        <v/>
      </c>
      <c r="J17" s="33">
        <f>J10-J15</f>
        <v/>
      </c>
      <c r="K17" s="33">
        <f>K10-K15</f>
        <v/>
      </c>
      <c r="L17" s="33">
        <f>L10-L15</f>
        <v/>
      </c>
      <c r="M17" s="33">
        <f>M10-M15</f>
        <v/>
      </c>
    </row>
    <row r="19">
      <c r="A19" s="3" t="inlineStr">
        <is>
          <t>Годовой итог EBITDA</t>
        </is>
      </c>
    </row>
    <row r="20">
      <c r="A20" s="14" t="inlineStr">
        <is>
          <t>2026 (H2)</t>
        </is>
      </c>
      <c r="B20" s="21">
        <f>B17+C17</f>
        <v/>
      </c>
    </row>
    <row r="21">
      <c r="A21" s="14" t="inlineStr">
        <is>
          <t>2027</t>
        </is>
      </c>
      <c r="B21" s="21">
        <f>D17+E17+F17+G17</f>
        <v/>
      </c>
    </row>
    <row r="22">
      <c r="A22" s="14" t="inlineStr">
        <is>
          <t>2028</t>
        </is>
      </c>
      <c r="B22" s="21">
        <f>H17+I17+J17+K17</f>
        <v/>
      </c>
    </row>
  </sheetData>
  <mergeCells count="3">
    <mergeCell ref="A19:N19"/>
    <mergeCell ref="A3:N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Runway — cash on hand + ask</t>
        </is>
      </c>
    </row>
    <row r="3">
      <c r="A3" s="3" t="inlineStr">
        <is>
          <t>Cash positions</t>
        </is>
      </c>
    </row>
    <row r="4">
      <c r="A4" s="13" t="inlineStr">
        <is>
          <t>Pre-seed cash</t>
        </is>
      </c>
      <c r="B4" s="20">
        <f>Assumptions!B33</f>
        <v/>
      </c>
      <c r="C4" s="6" t="inlineStr">
        <is>
          <t>Friends&amp;family + own</t>
        </is>
      </c>
    </row>
    <row r="5">
      <c r="A5" s="13" t="inlineStr">
        <is>
          <t>Seed round $ → ₽</t>
        </is>
      </c>
      <c r="B5" s="20">
        <f>Assumptions!B34*Assumptions!B4</f>
        <v/>
      </c>
      <c r="C5" s="6" t="inlineStr">
        <is>
          <t>$500k × курс</t>
        </is>
      </c>
    </row>
    <row r="6">
      <c r="A6" s="14" t="inlineStr">
        <is>
          <t>Total available cash</t>
        </is>
      </c>
      <c r="B6" s="21">
        <f>B4+B5</f>
        <v/>
      </c>
      <c r="C6" s="6" t="inlineStr">
        <is>
          <t>Before burn</t>
        </is>
      </c>
    </row>
    <row r="8">
      <c r="A8" s="3" t="inlineStr">
        <is>
          <t>Burn analysis</t>
        </is>
      </c>
    </row>
    <row r="9">
      <c r="A9" s="13" t="inlineStr">
        <is>
          <t>Cumulative burn 2026 H2</t>
        </is>
      </c>
      <c r="B9" s="20">
        <f>-'P&amp;L 3Y'!B20</f>
        <v/>
      </c>
      <c r="C9" s="6" t="inlineStr">
        <is>
          <t>Из P&amp;L 3Y</t>
        </is>
      </c>
    </row>
    <row r="10">
      <c r="A10" s="13" t="inlineStr">
        <is>
          <t>Cumulative burn 2027</t>
        </is>
      </c>
      <c r="B10" s="20">
        <f>-'P&amp;L 3Y'!B21</f>
        <v/>
      </c>
      <c r="C10" s="6" t="inlineStr"/>
    </row>
    <row r="11">
      <c r="A11" s="13" t="inlineStr">
        <is>
          <t>Cumulative burn 2028</t>
        </is>
      </c>
      <c r="B11" s="20">
        <f>-'P&amp;L 3Y'!B22</f>
        <v/>
      </c>
      <c r="C11" s="6" t="inlineStr"/>
    </row>
    <row r="12">
      <c r="A12" s="14" t="inlineStr">
        <is>
          <t>Total burn до Q4'28</t>
        </is>
      </c>
      <c r="B12" s="21">
        <f>B9+B10+B11</f>
        <v/>
      </c>
      <c r="C12" s="6" t="inlineStr"/>
    </row>
    <row r="13">
      <c r="A13" s="14" t="inlineStr">
        <is>
          <t>Cash остаток к концу 2028 года</t>
        </is>
      </c>
      <c r="B13" s="21">
        <f>B6-B12</f>
        <v/>
      </c>
    </row>
    <row r="15">
      <c r="A15" s="3" t="inlineStr">
        <is>
          <t>Use of seed funds</t>
        </is>
      </c>
    </row>
    <row r="16">
      <c r="A16" s="13" t="inlineStr">
        <is>
          <t>Sales &amp; Marketing 50%</t>
        </is>
      </c>
      <c r="B16" s="20">
        <f>B5*0.5</f>
        <v/>
      </c>
    </row>
    <row r="17">
      <c r="A17" s="13" t="inlineStr">
        <is>
          <t>Product (engineering) 30%</t>
        </is>
      </c>
      <c r="B17" s="20">
        <f>B5*0.3</f>
        <v/>
      </c>
    </row>
    <row r="18">
      <c r="A18" s="13" t="inlineStr">
        <is>
          <t>G&amp;A + legal + reserve 20%</t>
        </is>
      </c>
      <c r="B18" s="20">
        <f>B5*0.2</f>
        <v/>
      </c>
    </row>
    <row r="19">
      <c r="A19" s="14" t="inlineStr">
        <is>
          <t>Сумма (проверка)</t>
        </is>
      </c>
      <c r="B19" s="21">
        <f>B16+B17+B18</f>
        <v/>
      </c>
    </row>
  </sheetData>
  <mergeCells count="4">
    <mergeCell ref="A1:D1"/>
    <mergeCell ref="A8:D8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2026-05-19T14:27:22Z</dcterms:created>
  <dcterms:modified xmlns:dcterms="http://purl.org/dc/terms/" xmlns:xsi="http://www.w3.org/2001/XMLSchema-instance" xsi:type="dcterms:W3CDTF">2026-05-19T14:27:22Z</dcterms:modified>
</cp:coreProperties>
</file>